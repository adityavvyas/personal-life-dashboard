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ily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Your own tracked/projected balance, kept separate from the fresh bank balance above. Edit freely — tell Claude the formula you use and it can be linked automatically.</t>
        </r>
      </text>
    </comment>
    <comment ref="B25" authorId="0">
      <text>
        <r>
          <rPr>
            <sz val="10"/>
            <rFont val="Arial"/>
            <family val="2"/>
          </rPr>
          <t xml:space="preserve">Back-calculated from your full-tank cost ÷ today's fuel price. Swap in your bike's exact tank capacity if you know it — Full Tank Expense below will still update automatically as fuel prices change.</t>
        </r>
      </text>
    </comment>
    <comment ref="J20" authorId="0">
      <text>
        <r>
          <rPr>
            <sz val="10"/>
            <rFont val="Arial"/>
            <family val="2"/>
          </rPr>
          <t xml:space="preserve">Monthly BOI budget — in your original note this covers daily allowance plus fuel and other recurring BOI spend combined. Adjust each month as needed.</t>
        </r>
      </text>
    </comment>
  </commentList>
</comments>
</file>

<file path=xl/sharedStrings.xml><?xml version="1.0" encoding="utf-8"?>
<sst xmlns="http://schemas.openxmlformats.org/spreadsheetml/2006/main" count="62" uniqueCount="55">
  <si>
    <t xml:space="preserve">Monthly Expense Tracker</t>
  </si>
  <si>
    <t xml:space="preserve">TODAY</t>
  </si>
  <si>
    <t xml:space="preserve">Date</t>
  </si>
  <si>
    <t xml:space="preserve">Day</t>
  </si>
  <si>
    <t xml:space="preserve">ACCOUNT BALANCES  (update these when you check your banking app)</t>
  </si>
  <si>
    <t xml:space="preserve">Bank</t>
  </si>
  <si>
    <t xml:space="preserve">Balance</t>
  </si>
  <si>
    <t xml:space="preserve">Min. Balance to Maintain</t>
  </si>
  <si>
    <t xml:space="preserve">Available (Balance − Min)</t>
  </si>
  <si>
    <t xml:space="preserve">BOI</t>
  </si>
  <si>
    <t xml:space="preserve">SBI</t>
  </si>
  <si>
    <t xml:space="preserve">Total</t>
  </si>
  <si>
    <t xml:space="preserve">YOUR BALANCE TRACKING  (your own planning figures, separate from bank balance above)</t>
  </si>
  <si>
    <t xml:space="preserve">BOI — Current Balance</t>
  </si>
  <si>
    <t xml:space="preserve">SBI — Current Balance</t>
  </si>
  <si>
    <t xml:space="preserve">DAILY ALLOWANCE RULES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</si>
  <si>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</si>
  <si>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</si>
  <si>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</si>
  <si>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</si>
  <si>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</si>
  <si>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</si>
  <si>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</si>
  <si>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Weekly</t>
  </si>
  <si>
    <t xml:space="preserve">Monthly</t>
  </si>
  <si>
    <t xml:space="preserve">NOT ALLOWED for daily withdrawals</t>
  </si>
  <si>
    <t xml:space="preserve">—</t>
  </si>
  <si>
    <t xml:space="preserve">FUEL TRACKING</t>
  </si>
  <si>
    <t xml:space="preserve">Today's Fuel Price (₹/litre) — Jaipur</t>
  </si>
  <si>
    <t xml:space="preserve">Tank Capacity (litres, approx.)</t>
  </si>
  <si>
    <t xml:space="preserve">Full Tank Expense</t>
  </si>
  <si>
    <t xml:space="preserve">Daily Fuel Expense</t>
  </si>
  <si>
    <t xml:space="preserve">Weekly Fuel Expense</t>
  </si>
  <si>
    <t xml:space="preserve">Monthly Fuel Expense</t>
  </si>
  <si>
    <t xml:space="preserve">TOTAL MONTHLY EXPENDITURE</t>
  </si>
  <si>
    <t xml:space="preserve">BOI Monthly Allowance</t>
  </si>
  <si>
    <t xml:space="preserve">SBI Monthly Allowance</t>
  </si>
  <si>
    <t xml:space="preserve">BOI Urgent/Unknown Buffer</t>
  </si>
  <si>
    <t xml:space="preserve">SBI Urgent/Unknown Buffer</t>
  </si>
  <si>
    <t xml:space="preserve">Total Expenditure (Planned)</t>
  </si>
  <si>
    <t xml:space="preserve">Monthly Expense Cap</t>
  </si>
  <si>
    <t xml:space="preserve">Status</t>
  </si>
  <si>
    <t xml:space="preserve">EXPECTED BALANCE AT MONTH END</t>
  </si>
  <si>
    <t xml:space="preserve">Blue = numbers you type in  ·  Black = auto-calculated.  Log each day's actual spend in the 'Daily Log' tab.</t>
  </si>
  <si>
    <t xml:space="preserve">BOI Allowance (Planned)</t>
  </si>
  <si>
    <t xml:space="preserve">BOI Spent (Actual)</t>
  </si>
  <si>
    <t xml:space="preserve">Fuel</t>
  </si>
  <si>
    <t xml:space="preserve">BOI Extra / Unplanned</t>
  </si>
  <si>
    <t xml:space="preserve">SBI Spent</t>
  </si>
  <si>
    <t xml:space="preserve">Notes</t>
  </si>
  <si>
    <t xml:space="preserve">Total Spent Today</t>
  </si>
  <si>
    <t xml:space="preserve">BOI Balance</t>
  </si>
  <si>
    <t xml:space="preserve">SBI Balance</t>
  </si>
  <si>
    <t xml:space="preserve">Total Balance</t>
  </si>
  <si>
    <t xml:space="preserve">MONTH TOTAL (so far)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</si>
</sst>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\₹#,##0.00;[RED]&quot;(₹&quot;#,##0.00\)"/>
    <numFmt numFmtId="167" formatCode="\₹#,##0"/>
    <numFmt numFmtId="168" formatCode="0.0"/>
    <numFmt numFmtId="169" formatCode="\₹#,##0.00;[RED]&quot;(₹&quot;#,##0.0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1"/>
      <color rgb="FF999999"/>
      <name val="Arial"/>
      <family val="0"/>
      <charset val="1"/>
    </font>
    <font>
      <sz val="11"/>
      <color rgb="FF99999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tr">
        <f aca="true">"Opens showing today's real date — "&amp;TEXT(TODAY(),"dd mmm yyyy")</f>
        <v>Opens showing today's real date — 07 Jul 2026</v>
      </c>
      <c r="B2" s="2"/>
      <c r="C2" s="2"/>
      <c r="D2" s="2"/>
    </row>
    <row r="4" customFormat="false" ht="15" hidden="false" customHeight="false" outlineLevel="0" collapsed="false">
      <c r="A4" s="3" t="s">
        <v>1</v>
      </c>
      <c r="B4" s="3"/>
      <c r="C4" s="3"/>
      <c r="D4" s="3"/>
    </row>
    <row r="5" customFormat="false" ht="15" hidden="false" customHeight="false" outlineLevel="0" collapsed="false">
      <c r="A5" s="4" t="s">
        <v>2</v>
      </c>
      <c r="B5" s="5" t="n">
        <f aca="true">TODAY()</f>
        <v>46210</v>
      </c>
    </row>
    <row r="6" customFormat="false" ht="15" hidden="false" customHeight="false" outlineLevel="0" collapsed="false">
      <c r="A6" s="4" t="s">
        <v>3</v>
      </c>
      <c r="B6" s="6" t="str">
        <f aca="false">TEXT(B5,"dddd")</f>
        <v>Tuesday</v>
      </c>
    </row>
    <row r="8" customFormat="false" ht="15" hidden="false" customHeight="false" outlineLevel="0" collapsed="false">
      <c r="A8" s="3" t="s">
        <v>4</v>
      </c>
      <c r="B8" s="3"/>
      <c r="C8" s="3"/>
      <c r="D8" s="3"/>
    </row>
    <row r="9" customFormat="false" ht="15" hidden="false" customHeight="false" outlineLevel="0" collapsed="false">
      <c r="A9" s="7" t="s">
        <v>5</v>
      </c>
      <c r="B9" s="7" t="s">
        <v>6</v>
      </c>
      <c r="C9" s="7" t="s">
        <v>7</v>
      </c>
      <c r="D9" s="7" t="s">
        <v>8</v>
      </c>
    </row>
    <row r="10" customFormat="false" ht="15" hidden="false" customHeight="false" outlineLevel="0" collapsed="false">
      <c r="A10" s="4" t="s">
        <v>9</v>
      </c>
      <c r="B10" s="8" t="n">
        <v>216.12</v>
      </c>
      <c r="C10" s="8" t="n">
        <v>5000</v>
      </c>
      <c r="D10" s="9" t="n">
        <f aca="false">B10-C10</f>
        <v>-4783.88</v>
      </c>
    </row>
    <row r="11" customFormat="false" ht="15" hidden="false" customHeight="false" outlineLevel="0" collapsed="false">
      <c r="A11" s="4" t="s">
        <v>10</v>
      </c>
      <c r="B11" s="8" t="n">
        <v>41304.57</v>
      </c>
      <c r="C11" s="8" t="n">
        <v>25000</v>
      </c>
      <c r="D11" s="9" t="n">
        <f aca="false">B11-C11</f>
        <v>16304.57</v>
      </c>
    </row>
    <row r="12" customFormat="false" ht="15" hidden="false" customHeight="false" outlineLevel="0" collapsed="false">
      <c r="A12" s="10" t="s">
        <v>11</v>
      </c>
      <c r="B12" s="11" t="n">
        <f aca="false">SUM(B10:B11)</f>
        <v>41520.69</v>
      </c>
      <c r="C12" s="11" t="n">
        <f aca="false">SUM(C10:C11)</f>
        <v>30000</v>
      </c>
      <c r="D12" s="11" t="n">
        <f aca="false">SUM(D10:D11)</f>
        <v>11520.69</v>
      </c>
    </row>
    <row r="14" customFormat="false" ht="15" hidden="false" customHeight="false" outlineLevel="0" collapsed="false">
      <c r="A14" s="3" t="s">
        <v>12</v>
      </c>
      <c r="B14" s="3"/>
      <c r="C14" s="3"/>
      <c r="D14" s="3"/>
    </row>
    <row r="15" customFormat="false" ht="15" hidden="false" customHeight="false" outlineLevel="0" collapsed="false">
      <c r="A15" s="4" t="s">
        <v>13</v>
      </c>
      <c r="B15" s="8" t="n">
        <v>6520.69</v>
      </c>
    </row>
    <row r="16" customFormat="false" ht="15" hidden="false" customHeight="false" outlineLevel="0" collapsed="false">
      <c r="A16" s="4" t="s">
        <v>14</v>
      </c>
      <c r="B16" s="8" t="n">
        <v>35000</v>
      </c>
    </row>
    <row r="18" customFormat="false" ht="15" hidden="false" customHeight="false" outlineLevel="0" collapsed="false">
      <c r="A18" s="3" t="s">
        <v>15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false" outlineLevel="0" collapsed="false">
      <c r="A19" s="7" t="s">
        <v>5</v>
      </c>
      <c r="B19" s="7" t="s">
        <v>16</v>
      </c>
      <c r="C19" s="7" t="s">
        <v>17</v>
      </c>
      <c r="D19" s="7" t="s">
        <v>18</v>
      </c>
      <c r="E19" s="7" t="s">
        <v>19</v>
      </c>
      <c r="F19" s="7" t="s">
        <v>20</v>
      </c>
      <c r="G19" s="7" t="s">
        <v>21</v>
      </c>
      <c r="H19" s="7" t="s">
        <v>22</v>
      </c>
      <c r="I19" s="7" t="s">
        <v>23</v>
      </c>
      <c r="J19" s="7" t="s">
        <v>24</v>
      </c>
    </row>
    <row r="20" customFormat="false" ht="15" hidden="false" customHeight="false" outlineLevel="0" collapsed="false">
      <c r="A20" s="4" t="s">
        <v>9</v>
      </c>
      <c r="B20" s="12" t="n">
        <v>50</v>
      </c>
      <c r="C20" s="12" t="n">
        <v>50</v>
      </c>
      <c r="D20" s="12" t="n">
        <v>50</v>
      </c>
      <c r="E20" s="12" t="n">
        <v>50</v>
      </c>
      <c r="F20" s="12" t="n">
        <v>50</v>
      </c>
      <c r="G20" s="12" t="n">
        <v>150</v>
      </c>
      <c r="H20" s="12" t="n">
        <v>150</v>
      </c>
      <c r="I20" s="13" t="n">
        <f aca="false">SUM(B20:H20)</f>
        <v>550</v>
      </c>
      <c r="J20" s="12" t="n">
        <v>4600</v>
      </c>
    </row>
    <row r="21" customFormat="false" ht="15" hidden="false" customHeight="false" outlineLevel="0" collapsed="false">
      <c r="A21" s="4" t="s">
        <v>10</v>
      </c>
      <c r="B21" s="14" t="s">
        <v>25</v>
      </c>
      <c r="C21" s="14"/>
      <c r="D21" s="14"/>
      <c r="E21" s="14"/>
      <c r="F21" s="14"/>
      <c r="G21" s="14"/>
      <c r="H21" s="14"/>
      <c r="I21" s="15" t="s">
        <v>26</v>
      </c>
      <c r="J21" s="12" t="n">
        <v>20000</v>
      </c>
    </row>
    <row r="23" customFormat="false" ht="15" hidden="false" customHeight="false" outlineLevel="0" collapsed="false">
      <c r="A23" s="3" t="s">
        <v>27</v>
      </c>
      <c r="B23" s="3"/>
      <c r="C23" s="3"/>
      <c r="D23" s="3"/>
    </row>
    <row r="24" customFormat="false" ht="15" hidden="false" customHeight="false" outlineLevel="0" collapsed="false">
      <c r="A24" s="4" t="s">
        <v>28</v>
      </c>
      <c r="B24" s="8" t="n">
        <v>112.66</v>
      </c>
    </row>
    <row r="25" customFormat="false" ht="15" hidden="false" customHeight="false" outlineLevel="0" collapsed="false">
      <c r="A25" s="4" t="s">
        <v>29</v>
      </c>
      <c r="B25" s="16" t="n">
        <v>11.2</v>
      </c>
    </row>
    <row r="26" customFormat="false" ht="15" hidden="false" customHeight="false" outlineLevel="0" collapsed="false">
      <c r="A26" s="4" t="s">
        <v>30</v>
      </c>
      <c r="B26" s="9" t="n">
        <f aca="false">B25*B24</f>
        <v>1261.792</v>
      </c>
    </row>
    <row r="27" customFormat="false" ht="15" hidden="false" customHeight="false" outlineLevel="0" collapsed="false">
      <c r="A27" s="4" t="s">
        <v>31</v>
      </c>
      <c r="B27" s="8" t="n">
        <v>80</v>
      </c>
    </row>
    <row r="28" customFormat="false" ht="15" hidden="false" customHeight="false" outlineLevel="0" collapsed="false">
      <c r="A28" s="4" t="s">
        <v>32</v>
      </c>
      <c r="B28" s="9" t="n">
        <f aca="false">B27*7</f>
        <v>560</v>
      </c>
    </row>
    <row r="29" customFormat="false" ht="15" hidden="false" customHeight="false" outlineLevel="0" collapsed="false">
      <c r="A29" s="4" t="s">
        <v>33</v>
      </c>
      <c r="B29" s="9" t="n">
        <f aca="false">B27*30</f>
        <v>2400</v>
      </c>
    </row>
    <row r="31" customFormat="false" ht="15" hidden="false" customHeight="false" outlineLevel="0" collapsed="false">
      <c r="A31" s="3" t="s">
        <v>34</v>
      </c>
      <c r="B31" s="3"/>
      <c r="C31" s="3"/>
      <c r="D31" s="3"/>
    </row>
    <row r="32" customFormat="false" ht="15" hidden="false" customHeight="false" outlineLevel="0" collapsed="false">
      <c r="A32" s="4" t="s">
        <v>35</v>
      </c>
      <c r="B32" s="9" t="n">
        <f aca="false">J20</f>
        <v>4600</v>
      </c>
    </row>
    <row r="33" customFormat="false" ht="15" hidden="false" customHeight="false" outlineLevel="0" collapsed="false">
      <c r="A33" s="4" t="s">
        <v>36</v>
      </c>
      <c r="B33" s="9" t="n">
        <f aca="false">J21</f>
        <v>20000</v>
      </c>
    </row>
    <row r="34" customFormat="false" ht="15" hidden="false" customHeight="false" outlineLevel="0" collapsed="false">
      <c r="A34" s="4" t="s">
        <v>37</v>
      </c>
      <c r="B34" s="8" t="n">
        <v>400</v>
      </c>
    </row>
    <row r="35" customFormat="false" ht="15" hidden="false" customHeight="false" outlineLevel="0" collapsed="false">
      <c r="A35" s="4" t="s">
        <v>38</v>
      </c>
      <c r="B35" s="8" t="n">
        <v>500</v>
      </c>
    </row>
    <row r="36" customFormat="false" ht="15" hidden="false" customHeight="false" outlineLevel="0" collapsed="false">
      <c r="A36" s="10" t="s">
        <v>39</v>
      </c>
      <c r="B36" s="11" t="n">
        <f aca="false">SUM(B32:B35)</f>
        <v>25500</v>
      </c>
    </row>
    <row r="37" customFormat="false" ht="15" hidden="false" customHeight="false" outlineLevel="0" collapsed="false">
      <c r="A37" s="4" t="s">
        <v>40</v>
      </c>
      <c r="B37" s="17" t="n">
        <v>25500</v>
      </c>
    </row>
    <row r="38" customFormat="false" ht="15" hidden="false" customHeight="false" outlineLevel="0" collapsed="false">
      <c r="A38" s="10" t="s">
        <v>41</v>
      </c>
      <c r="B38" s="18" t="str">
        <f aca="false">IF(B36&gt;B37,"Over Cap","Within Cap")</f>
        <v>Within Cap</v>
      </c>
    </row>
    <row r="40" customFormat="false" ht="15" hidden="false" customHeight="false" outlineLevel="0" collapsed="false">
      <c r="A40" s="3" t="s">
        <v>42</v>
      </c>
      <c r="B40" s="3"/>
      <c r="C40" s="3"/>
      <c r="D40" s="3"/>
    </row>
    <row r="41" customFormat="false" ht="15" hidden="false" customHeight="false" outlineLevel="0" collapsed="false">
      <c r="A41" s="4" t="s">
        <v>9</v>
      </c>
      <c r="B41" s="8" t="n">
        <v>0</v>
      </c>
      <c r="C41" s="6" t="str">
        <f aca="false">"(+ "&amp;TEXT(B34,"0")&amp;" reserved for urgent expenses)"</f>
        <v>(+ 400 reserved for urgent expenses)</v>
      </c>
    </row>
    <row r="42" customFormat="false" ht="15" hidden="false" customHeight="false" outlineLevel="0" collapsed="false">
      <c r="A42" s="4" t="s">
        <v>10</v>
      </c>
      <c r="B42" s="8" t="n">
        <v>4500</v>
      </c>
      <c r="C42" s="6" t="str">
        <f aca="false">"(+ "&amp;TEXT(B35,"0")&amp;" reserved for urgent expenses)"</f>
        <v>(+ 500 reserved for urgent expenses)</v>
      </c>
    </row>
    <row r="44" customFormat="false" ht="15" hidden="false" customHeight="false" outlineLevel="0" collapsed="false">
      <c r="A44" s="2" t="s">
        <v>43</v>
      </c>
      <c r="B44" s="2"/>
      <c r="C44" s="2"/>
      <c r="D44" s="2"/>
      <c r="E44" s="2"/>
      <c r="F44" s="2"/>
    </row>
  </sheetData>
  <mergeCells count="11">
    <mergeCell ref="A1:D1"/>
    <mergeCell ref="A2:D2"/>
    <mergeCell ref="A4:D4"/>
    <mergeCell ref="A8:D8"/>
    <mergeCell ref="A14:D14"/>
    <mergeCell ref="A18:J18"/>
    <mergeCell ref="B21:H21"/>
    <mergeCell ref="A23:D23"/>
    <mergeCell ref="A31:D31"/>
    <mergeCell ref="A40:D40"/>
    <mergeCell ref="A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7" min="3" style="0" width="13"/>
    <col collapsed="false" customWidth="true" hidden="false" outlineLevel="0" max="8" min="8" style="0" width="26"/>
    <col collapsed="false" customWidth="true" hidden="false" outlineLevel="0" max="12" min="9" style="0" width="14"/>
  </cols>
  <sheetData>
    <row r="1" customFormat="false" ht="31.5" hidden="false" customHeight="true" outlineLevel="0" collapsed="false">
      <c r="A1" s="19" t="s">
        <v>2</v>
      </c>
      <c r="B1" s="19" t="s">
        <v>3</v>
      </c>
      <c r="C1" s="19" t="s">
        <v>44</v>
      </c>
      <c r="D1" s="19" t="s">
        <v>45</v>
      </c>
      <c r="E1" s="19" t="s">
        <v>46</v>
      </c>
      <c r="F1" s="19" t="s">
        <v>47</v>
      </c>
      <c r="G1" s="19" t="s">
        <v>48</v>
      </c>
      <c r="H1" s="19" t="s">
        <v>49</v>
      </c>
      <c r="I1" s="19" t="s">
        <v>50</v>
      </c>
      <c r="J1" s="19" t="s">
        <v>51</v>
      </c>
      <c r="K1" s="19" t="s">
        <v>52</v>
      </c>
      <c r="L1" s="19" t="s">
        <v>53</v>
      </c>
    </row>
    <row r="2" customFormat="false" ht="15" hidden="false" customHeight="false" outlineLevel="0" collapsed="false">
      <c r="A2" s="20" t="n">
        <v>46210</v>
      </c>
      <c r="B2" s="4" t="str">
        <f aca="false">TEXT(A2,"dddd")</f>
        <v>Tuesday</v>
      </c>
      <c r="C2" s="21" t="n">
        <f aca="false">INDEX(Dashboard!$B$20:$H$20,WEEKDAY(A2,2))</f>
        <v>50</v>
      </c>
      <c r="D2" s="8" t="n">
        <f aca="false">C2</f>
        <v>50</v>
      </c>
      <c r="E2" s="22"/>
      <c r="F2" s="22"/>
      <c r="G2" s="22"/>
      <c r="I2" s="23" t="n">
        <f aca="false">D2+E2+F2+G2</f>
        <v>50</v>
      </c>
      <c r="J2" s="23" t="n">
        <f aca="false">Dashboard!B10-D2-E2-F2</f>
        <v>166.12</v>
      </c>
      <c r="K2" s="23" t="n">
        <f aca="false">Dashboard!B11-G2</f>
        <v>41304.57</v>
      </c>
      <c r="L2" s="24" t="n">
        <f aca="false">J2+K2</f>
        <v>41470.69</v>
      </c>
    </row>
    <row r="3" customFormat="false" ht="15" hidden="false" customHeight="false" outlineLevel="0" collapsed="false">
      <c r="A3" s="20" t="n">
        <v>46211</v>
      </c>
      <c r="B3" s="4" t="str">
        <f aca="false">TEXT(A3,"dddd")</f>
        <v>Wednesday</v>
      </c>
      <c r="C3" s="21" t="n">
        <f aca="false">INDEX(Dashboard!$B$20:$H$20,WEEKDAY(A3,2))</f>
        <v>50</v>
      </c>
      <c r="D3" s="8" t="n">
        <f aca="false">C3</f>
        <v>50</v>
      </c>
      <c r="E3" s="22"/>
      <c r="F3" s="22"/>
      <c r="G3" s="22"/>
      <c r="I3" s="23" t="n">
        <f aca="false">D3+E3+F3+G3</f>
        <v>50</v>
      </c>
      <c r="J3" s="23" t="n">
        <f aca="false">J2-D3-E3-F3</f>
        <v>116.12</v>
      </c>
      <c r="K3" s="23" t="n">
        <f aca="false">K2-G3</f>
        <v>41304.57</v>
      </c>
      <c r="L3" s="24" t="n">
        <f aca="false">J3+K3</f>
        <v>41420.69</v>
      </c>
    </row>
    <row r="4" customFormat="false" ht="15" hidden="false" customHeight="false" outlineLevel="0" collapsed="false">
      <c r="A4" s="20" t="n">
        <v>46212</v>
      </c>
      <c r="B4" s="4" t="str">
        <f aca="false">TEXT(A4,"dddd")</f>
        <v>Thursday</v>
      </c>
      <c r="C4" s="21" t="n">
        <f aca="false">INDEX(Dashboard!$B$20:$H$20,WEEKDAY(A4,2))</f>
        <v>50</v>
      </c>
      <c r="D4" s="8" t="n">
        <f aca="false">C4</f>
        <v>50</v>
      </c>
      <c r="E4" s="22"/>
      <c r="F4" s="22"/>
      <c r="G4" s="22"/>
      <c r="I4" s="23" t="n">
        <f aca="false">D4+E4+F4+G4</f>
        <v>50</v>
      </c>
      <c r="J4" s="23" t="n">
        <f aca="false">J3-D4-E4-F4</f>
        <v>66.12</v>
      </c>
      <c r="K4" s="23" t="n">
        <f aca="false">K3-G4</f>
        <v>41304.57</v>
      </c>
      <c r="L4" s="24" t="n">
        <f aca="false">J4+K4</f>
        <v>41370.69</v>
      </c>
    </row>
    <row r="5" customFormat="false" ht="15" hidden="false" customHeight="false" outlineLevel="0" collapsed="false">
      <c r="A5" s="20" t="n">
        <v>46213</v>
      </c>
      <c r="B5" s="4" t="str">
        <f aca="false">TEXT(A5,"dddd")</f>
        <v>Friday</v>
      </c>
      <c r="C5" s="21" t="n">
        <f aca="false">INDEX(Dashboard!$B$20:$H$20,WEEKDAY(A5,2))</f>
        <v>50</v>
      </c>
      <c r="D5" s="8" t="n">
        <f aca="false">C5</f>
        <v>50</v>
      </c>
      <c r="E5" s="22"/>
      <c r="F5" s="22"/>
      <c r="G5" s="22"/>
      <c r="I5" s="23" t="n">
        <f aca="false">D5+E5+F5+G5</f>
        <v>50</v>
      </c>
      <c r="J5" s="23" t="n">
        <f aca="false">J4-D5-E5-F5</f>
        <v>16.12</v>
      </c>
      <c r="K5" s="23" t="n">
        <f aca="false">K4-G5</f>
        <v>41304.57</v>
      </c>
      <c r="L5" s="24" t="n">
        <f aca="false">J5+K5</f>
        <v>41320.69</v>
      </c>
    </row>
    <row r="6" customFormat="false" ht="15" hidden="false" customHeight="false" outlineLevel="0" collapsed="false">
      <c r="A6" s="20" t="n">
        <v>46214</v>
      </c>
      <c r="B6" s="4" t="str">
        <f aca="false">TEXT(A6,"dddd")</f>
        <v>Saturday</v>
      </c>
      <c r="C6" s="21" t="n">
        <f aca="false">INDEX(Dashboard!$B$20:$H$20,WEEKDAY(A6,2))</f>
        <v>150</v>
      </c>
      <c r="D6" s="8" t="n">
        <f aca="false">C6</f>
        <v>150</v>
      </c>
      <c r="E6" s="22"/>
      <c r="F6" s="22"/>
      <c r="G6" s="22"/>
      <c r="I6" s="23" t="n">
        <f aca="false">D6+E6+F6+G6</f>
        <v>150</v>
      </c>
      <c r="J6" s="23" t="n">
        <f aca="false">J5-D6-E6-F6</f>
        <v>-133.88</v>
      </c>
      <c r="K6" s="23" t="n">
        <f aca="false">K5-G6</f>
        <v>41304.57</v>
      </c>
      <c r="L6" s="24" t="n">
        <f aca="false">J6+K6</f>
        <v>41170.69</v>
      </c>
    </row>
    <row r="7" customFormat="false" ht="15" hidden="false" customHeight="false" outlineLevel="0" collapsed="false">
      <c r="A7" s="20" t="n">
        <v>46215</v>
      </c>
      <c r="B7" s="4" t="str">
        <f aca="false">TEXT(A7,"dddd")</f>
        <v>Sunday</v>
      </c>
      <c r="C7" s="21" t="n">
        <f aca="false">INDEX(Dashboard!$B$20:$H$20,WEEKDAY(A7,2))</f>
        <v>150</v>
      </c>
      <c r="D7" s="8" t="n">
        <f aca="false">C7</f>
        <v>150</v>
      </c>
      <c r="E7" s="22"/>
      <c r="F7" s="22"/>
      <c r="G7" s="22"/>
      <c r="I7" s="23" t="n">
        <f aca="false">D7+E7+F7+G7</f>
        <v>150</v>
      </c>
      <c r="J7" s="23" t="n">
        <f aca="false">J6-D7-E7-F7</f>
        <v>-283.88</v>
      </c>
      <c r="K7" s="23" t="n">
        <f aca="false">K6-G7</f>
        <v>41304.57</v>
      </c>
      <c r="L7" s="24" t="n">
        <f aca="false">J7+K7</f>
        <v>41020.69</v>
      </c>
    </row>
    <row r="8" customFormat="false" ht="15" hidden="false" customHeight="false" outlineLevel="0" collapsed="false">
      <c r="A8" s="20" t="n">
        <v>46216</v>
      </c>
      <c r="B8" s="4" t="str">
        <f aca="false">TEXT(A8,"dddd")</f>
        <v>Monday</v>
      </c>
      <c r="C8" s="21" t="n">
        <f aca="false">INDEX(Dashboard!$B$20:$H$20,WEEKDAY(A8,2))</f>
        <v>50</v>
      </c>
      <c r="D8" s="8" t="n">
        <f aca="false">C8</f>
        <v>50</v>
      </c>
      <c r="E8" s="22"/>
      <c r="F8" s="22"/>
      <c r="G8" s="22"/>
      <c r="I8" s="23" t="n">
        <f aca="false">D8+E8+F8+G8</f>
        <v>50</v>
      </c>
      <c r="J8" s="23" t="n">
        <f aca="false">J7-D8-E8-F8</f>
        <v>-333.88</v>
      </c>
      <c r="K8" s="23" t="n">
        <f aca="false">K7-G8</f>
        <v>41304.57</v>
      </c>
      <c r="L8" s="24" t="n">
        <f aca="false">J8+K8</f>
        <v>40970.69</v>
      </c>
    </row>
    <row r="9" customFormat="false" ht="15" hidden="false" customHeight="false" outlineLevel="0" collapsed="false">
      <c r="A9" s="20" t="n">
        <v>46217</v>
      </c>
      <c r="B9" s="4" t="str">
        <f aca="false">TEXT(A9,"dddd")</f>
        <v>Tuesday</v>
      </c>
      <c r="C9" s="21" t="n">
        <f aca="false">INDEX(Dashboard!$B$20:$H$20,WEEKDAY(A9,2))</f>
        <v>50</v>
      </c>
      <c r="D9" s="8" t="n">
        <f aca="false">C9</f>
        <v>50</v>
      </c>
      <c r="E9" s="22"/>
      <c r="F9" s="22"/>
      <c r="G9" s="22"/>
      <c r="I9" s="23" t="n">
        <f aca="false">D9+E9+F9+G9</f>
        <v>50</v>
      </c>
      <c r="J9" s="23" t="n">
        <f aca="false">J8-D9-E9-F9</f>
        <v>-383.88</v>
      </c>
      <c r="K9" s="23" t="n">
        <f aca="false">K8-G9</f>
        <v>41304.57</v>
      </c>
      <c r="L9" s="24" t="n">
        <f aca="false">J9+K9</f>
        <v>40920.69</v>
      </c>
    </row>
    <row r="10" customFormat="false" ht="15" hidden="false" customHeight="false" outlineLevel="0" collapsed="false">
      <c r="A10" s="20" t="n">
        <v>46218</v>
      </c>
      <c r="B10" s="4" t="str">
        <f aca="false">TEXT(A10,"dddd")</f>
        <v>Wednesday</v>
      </c>
      <c r="C10" s="21" t="n">
        <f aca="false">INDEX(Dashboard!$B$20:$H$20,WEEKDAY(A10,2))</f>
        <v>50</v>
      </c>
      <c r="D10" s="8" t="n">
        <f aca="false">C10</f>
        <v>50</v>
      </c>
      <c r="E10" s="22"/>
      <c r="F10" s="22"/>
      <c r="G10" s="22"/>
      <c r="I10" s="23" t="n">
        <f aca="false">D10+E10+F10+G10</f>
        <v>50</v>
      </c>
      <c r="J10" s="23" t="n">
        <f aca="false">J9-D10-E10-F10</f>
        <v>-433.88</v>
      </c>
      <c r="K10" s="23" t="n">
        <f aca="false">K9-G10</f>
        <v>41304.57</v>
      </c>
      <c r="L10" s="24" t="n">
        <f aca="false">J10+K10</f>
        <v>40870.69</v>
      </c>
    </row>
    <row r="11" customFormat="false" ht="15" hidden="false" customHeight="false" outlineLevel="0" collapsed="false">
      <c r="A11" s="20" t="n">
        <v>46219</v>
      </c>
      <c r="B11" s="4" t="str">
        <f aca="false">TEXT(A11,"dddd")</f>
        <v>Thursday</v>
      </c>
      <c r="C11" s="21" t="n">
        <f aca="false">INDEX(Dashboard!$B$20:$H$20,WEEKDAY(A11,2))</f>
        <v>50</v>
      </c>
      <c r="D11" s="8" t="n">
        <f aca="false">C11</f>
        <v>50</v>
      </c>
      <c r="E11" s="22"/>
      <c r="F11" s="22"/>
      <c r="G11" s="22"/>
      <c r="I11" s="23" t="n">
        <f aca="false">D11+E11+F11+G11</f>
        <v>50</v>
      </c>
      <c r="J11" s="23" t="n">
        <f aca="false">J10-D11-E11-F11</f>
        <v>-483.88</v>
      </c>
      <c r="K11" s="23" t="n">
        <f aca="false">K10-G11</f>
        <v>41304.57</v>
      </c>
      <c r="L11" s="24" t="n">
        <f aca="false">J11+K11</f>
        <v>40820.69</v>
      </c>
    </row>
    <row r="12" customFormat="false" ht="15" hidden="false" customHeight="false" outlineLevel="0" collapsed="false">
      <c r="A12" s="20" t="n">
        <v>46220</v>
      </c>
      <c r="B12" s="4" t="str">
        <f aca="false">TEXT(A12,"dddd")</f>
        <v>Friday</v>
      </c>
      <c r="C12" s="21" t="n">
        <f aca="false">INDEX(Dashboard!$B$20:$H$20,WEEKDAY(A12,2))</f>
        <v>50</v>
      </c>
      <c r="D12" s="8" t="n">
        <f aca="false">C12</f>
        <v>50</v>
      </c>
      <c r="E12" s="22"/>
      <c r="F12" s="22"/>
      <c r="G12" s="22"/>
      <c r="I12" s="23" t="n">
        <f aca="false">D12+E12+F12+G12</f>
        <v>50</v>
      </c>
      <c r="J12" s="23" t="n">
        <f aca="false">J11-D12-E12-F12</f>
        <v>-533.88</v>
      </c>
      <c r="K12" s="23" t="n">
        <f aca="false">K11-G12</f>
        <v>41304.57</v>
      </c>
      <c r="L12" s="24" t="n">
        <f aca="false">J12+K12</f>
        <v>40770.69</v>
      </c>
    </row>
    <row r="13" customFormat="false" ht="15" hidden="false" customHeight="false" outlineLevel="0" collapsed="false">
      <c r="A13" s="20" t="n">
        <v>46221</v>
      </c>
      <c r="B13" s="4" t="str">
        <f aca="false">TEXT(A13,"dddd")</f>
        <v>Saturday</v>
      </c>
      <c r="C13" s="21" t="n">
        <f aca="false">INDEX(Dashboard!$B$20:$H$20,WEEKDAY(A13,2))</f>
        <v>150</v>
      </c>
      <c r="D13" s="8" t="n">
        <f aca="false">C13</f>
        <v>150</v>
      </c>
      <c r="E13" s="22"/>
      <c r="F13" s="22"/>
      <c r="G13" s="22"/>
      <c r="I13" s="23" t="n">
        <f aca="false">D13+E13+F13+G13</f>
        <v>150</v>
      </c>
      <c r="J13" s="23" t="n">
        <f aca="false">J12-D13-E13-F13</f>
        <v>-683.88</v>
      </c>
      <c r="K13" s="23" t="n">
        <f aca="false">K12-G13</f>
        <v>41304.57</v>
      </c>
      <c r="L13" s="24" t="n">
        <f aca="false">J13+K13</f>
        <v>40620.69</v>
      </c>
    </row>
    <row r="14" customFormat="false" ht="15" hidden="false" customHeight="false" outlineLevel="0" collapsed="false">
      <c r="A14" s="20" t="n">
        <v>46222</v>
      </c>
      <c r="B14" s="4" t="str">
        <f aca="false">TEXT(A14,"dddd")</f>
        <v>Sunday</v>
      </c>
      <c r="C14" s="21" t="n">
        <f aca="false">INDEX(Dashboard!$B$20:$H$20,WEEKDAY(A14,2))</f>
        <v>150</v>
      </c>
      <c r="D14" s="8" t="n">
        <f aca="false">C14</f>
        <v>150</v>
      </c>
      <c r="E14" s="22"/>
      <c r="F14" s="22"/>
      <c r="G14" s="22"/>
      <c r="I14" s="23" t="n">
        <f aca="false">D14+E14+F14+G14</f>
        <v>150</v>
      </c>
      <c r="J14" s="23" t="n">
        <f aca="false">J13-D14-E14-F14</f>
        <v>-833.88</v>
      </c>
      <c r="K14" s="23" t="n">
        <f aca="false">K13-G14</f>
        <v>41304.57</v>
      </c>
      <c r="L14" s="24" t="n">
        <f aca="false">J14+K14</f>
        <v>40470.69</v>
      </c>
    </row>
    <row r="15" customFormat="false" ht="15" hidden="false" customHeight="false" outlineLevel="0" collapsed="false">
      <c r="A15" s="20" t="n">
        <v>46223</v>
      </c>
      <c r="B15" s="4" t="str">
        <f aca="false">TEXT(A15,"dddd")</f>
        <v>Monday</v>
      </c>
      <c r="C15" s="21" t="n">
        <f aca="false">INDEX(Dashboard!$B$20:$H$20,WEEKDAY(A15,2))</f>
        <v>50</v>
      </c>
      <c r="D15" s="8" t="n">
        <f aca="false">C15</f>
        <v>50</v>
      </c>
      <c r="E15" s="22"/>
      <c r="F15" s="22"/>
      <c r="G15" s="22"/>
      <c r="I15" s="23" t="n">
        <f aca="false">D15+E15+F15+G15</f>
        <v>50</v>
      </c>
      <c r="J15" s="23" t="n">
        <f aca="false">J14-D15-E15-F15</f>
        <v>-883.88</v>
      </c>
      <c r="K15" s="23" t="n">
        <f aca="false">K14-G15</f>
        <v>41304.57</v>
      </c>
      <c r="L15" s="24" t="n">
        <f aca="false">J15+K15</f>
        <v>40420.69</v>
      </c>
    </row>
    <row r="16" customFormat="false" ht="15" hidden="false" customHeight="false" outlineLevel="0" collapsed="false">
      <c r="A16" s="20" t="n">
        <v>46224</v>
      </c>
      <c r="B16" s="4" t="str">
        <f aca="false">TEXT(A16,"dddd")</f>
        <v>Tuesday</v>
      </c>
      <c r="C16" s="21" t="n">
        <f aca="false">INDEX(Dashboard!$B$20:$H$20,WEEKDAY(A16,2))</f>
        <v>50</v>
      </c>
      <c r="D16" s="8" t="n">
        <f aca="false">C16</f>
        <v>50</v>
      </c>
      <c r="E16" s="22"/>
      <c r="F16" s="22"/>
      <c r="G16" s="22"/>
      <c r="I16" s="23" t="n">
        <f aca="false">D16+E16+F16+G16</f>
        <v>50</v>
      </c>
      <c r="J16" s="23" t="n">
        <f aca="false">J15-D16-E16-F16</f>
        <v>-933.88</v>
      </c>
      <c r="K16" s="23" t="n">
        <f aca="false">K15-G16</f>
        <v>41304.57</v>
      </c>
      <c r="L16" s="24" t="n">
        <f aca="false">J16+K16</f>
        <v>40370.69</v>
      </c>
    </row>
    <row r="17" customFormat="false" ht="15" hidden="false" customHeight="false" outlineLevel="0" collapsed="false">
      <c r="A17" s="20" t="n">
        <v>46225</v>
      </c>
      <c r="B17" s="4" t="str">
        <f aca="false">TEXT(A17,"dddd")</f>
        <v>Wednesday</v>
      </c>
      <c r="C17" s="21" t="n">
        <f aca="false">INDEX(Dashboard!$B$20:$H$20,WEEKDAY(A17,2))</f>
        <v>50</v>
      </c>
      <c r="D17" s="8" t="n">
        <f aca="false">C17</f>
        <v>50</v>
      </c>
      <c r="E17" s="22"/>
      <c r="F17" s="22"/>
      <c r="G17" s="22"/>
      <c r="I17" s="23" t="n">
        <f aca="false">D17+E17+F17+G17</f>
        <v>50</v>
      </c>
      <c r="J17" s="23" t="n">
        <f aca="false">J16-D17-E17-F17</f>
        <v>-983.88</v>
      </c>
      <c r="K17" s="23" t="n">
        <f aca="false">K16-G17</f>
        <v>41304.57</v>
      </c>
      <c r="L17" s="24" t="n">
        <f aca="false">J17+K17</f>
        <v>40320.69</v>
      </c>
    </row>
    <row r="18" customFormat="false" ht="15" hidden="false" customHeight="false" outlineLevel="0" collapsed="false">
      <c r="A18" s="20" t="n">
        <v>46226</v>
      </c>
      <c r="B18" s="4" t="str">
        <f aca="false">TEXT(A18,"dddd")</f>
        <v>Thursday</v>
      </c>
      <c r="C18" s="21" t="n">
        <f aca="false">INDEX(Dashboard!$B$20:$H$20,WEEKDAY(A18,2))</f>
        <v>50</v>
      </c>
      <c r="D18" s="8" t="n">
        <f aca="false">C18</f>
        <v>50</v>
      </c>
      <c r="E18" s="22"/>
      <c r="F18" s="22"/>
      <c r="G18" s="22"/>
      <c r="I18" s="23" t="n">
        <f aca="false">D18+E18+F18+G18</f>
        <v>50</v>
      </c>
      <c r="J18" s="23" t="n">
        <f aca="false">J17-D18-E18-F18</f>
        <v>-1033.88</v>
      </c>
      <c r="K18" s="23" t="n">
        <f aca="false">K17-G18</f>
        <v>41304.57</v>
      </c>
      <c r="L18" s="24" t="n">
        <f aca="false">J18+K18</f>
        <v>40270.69</v>
      </c>
    </row>
    <row r="19" customFormat="false" ht="15" hidden="false" customHeight="false" outlineLevel="0" collapsed="false">
      <c r="A19" s="20" t="n">
        <v>46227</v>
      </c>
      <c r="B19" s="4" t="str">
        <f aca="false">TEXT(A19,"dddd")</f>
        <v>Friday</v>
      </c>
      <c r="C19" s="21" t="n">
        <f aca="false">INDEX(Dashboard!$B$20:$H$20,WEEKDAY(A19,2))</f>
        <v>50</v>
      </c>
      <c r="D19" s="8" t="n">
        <f aca="false">C19</f>
        <v>50</v>
      </c>
      <c r="E19" s="22"/>
      <c r="F19" s="22"/>
      <c r="G19" s="22"/>
      <c r="I19" s="23" t="n">
        <f aca="false">D19+E19+F19+G19</f>
        <v>50</v>
      </c>
      <c r="J19" s="23" t="n">
        <f aca="false">J18-D19-E19-F19</f>
        <v>-1083.88</v>
      </c>
      <c r="K19" s="23" t="n">
        <f aca="false">K18-G19</f>
        <v>41304.57</v>
      </c>
      <c r="L19" s="24" t="n">
        <f aca="false">J19+K19</f>
        <v>40220.69</v>
      </c>
    </row>
    <row r="20" customFormat="false" ht="15" hidden="false" customHeight="false" outlineLevel="0" collapsed="false">
      <c r="A20" s="20" t="n">
        <v>46228</v>
      </c>
      <c r="B20" s="4" t="str">
        <f aca="false">TEXT(A20,"dddd")</f>
        <v>Saturday</v>
      </c>
      <c r="C20" s="21" t="n">
        <f aca="false">INDEX(Dashboard!$B$20:$H$20,WEEKDAY(A20,2))</f>
        <v>150</v>
      </c>
      <c r="D20" s="8" t="n">
        <f aca="false">C20</f>
        <v>150</v>
      </c>
      <c r="E20" s="22"/>
      <c r="F20" s="22"/>
      <c r="G20" s="22"/>
      <c r="I20" s="23" t="n">
        <f aca="false">D20+E20+F20+G20</f>
        <v>150</v>
      </c>
      <c r="J20" s="23" t="n">
        <f aca="false">J19-D20-E20-F20</f>
        <v>-1233.88</v>
      </c>
      <c r="K20" s="23" t="n">
        <f aca="false">K19-G20</f>
        <v>41304.57</v>
      </c>
      <c r="L20" s="24" t="n">
        <f aca="false">J20+K20</f>
        <v>40070.69</v>
      </c>
    </row>
    <row r="21" customFormat="false" ht="15" hidden="false" customHeight="false" outlineLevel="0" collapsed="false">
      <c r="A21" s="20" t="n">
        <v>46229</v>
      </c>
      <c r="B21" s="4" t="str">
        <f aca="false">TEXT(A21,"dddd")</f>
        <v>Sunday</v>
      </c>
      <c r="C21" s="21" t="n">
        <f aca="false">INDEX(Dashboard!$B$20:$H$20,WEEKDAY(A21,2))</f>
        <v>150</v>
      </c>
      <c r="D21" s="8" t="n">
        <f aca="false">C21</f>
        <v>150</v>
      </c>
      <c r="E21" s="22"/>
      <c r="F21" s="22"/>
      <c r="G21" s="22"/>
      <c r="I21" s="23" t="n">
        <f aca="false">D21+E21+F21+G21</f>
        <v>150</v>
      </c>
      <c r="J21" s="23" t="n">
        <f aca="false">J20-D21-E21-F21</f>
        <v>-1383.88</v>
      </c>
      <c r="K21" s="23" t="n">
        <f aca="false">K20-G21</f>
        <v>41304.57</v>
      </c>
      <c r="L21" s="24" t="n">
        <f aca="false">J21+K21</f>
        <v>39920.69</v>
      </c>
    </row>
    <row r="22" customFormat="false" ht="15" hidden="false" customHeight="false" outlineLevel="0" collapsed="false">
      <c r="A22" s="20" t="n">
        <v>46230</v>
      </c>
      <c r="B22" s="4" t="str">
        <f aca="false">TEXT(A22,"dddd")</f>
        <v>Monday</v>
      </c>
      <c r="C22" s="21" t="n">
        <f aca="false">INDEX(Dashboard!$B$20:$H$20,WEEKDAY(A22,2))</f>
        <v>50</v>
      </c>
      <c r="D22" s="8" t="n">
        <f aca="false">C22</f>
        <v>50</v>
      </c>
      <c r="E22" s="22"/>
      <c r="F22" s="22"/>
      <c r="G22" s="22"/>
      <c r="I22" s="23" t="n">
        <f aca="false">D22+E22+F22+G22</f>
        <v>50</v>
      </c>
      <c r="J22" s="23" t="n">
        <f aca="false">J21-D22-E22-F22</f>
        <v>-1433.88</v>
      </c>
      <c r="K22" s="23" t="n">
        <f aca="false">K21-G22</f>
        <v>41304.57</v>
      </c>
      <c r="L22" s="24" t="n">
        <f aca="false">J22+K22</f>
        <v>39870.69</v>
      </c>
    </row>
    <row r="23" customFormat="false" ht="15" hidden="false" customHeight="false" outlineLevel="0" collapsed="false">
      <c r="A23" s="20" t="n">
        <v>46231</v>
      </c>
      <c r="B23" s="4" t="str">
        <f aca="false">TEXT(A23,"dddd")</f>
        <v>Tuesday</v>
      </c>
      <c r="C23" s="21" t="n">
        <f aca="false">INDEX(Dashboard!$B$20:$H$20,WEEKDAY(A23,2))</f>
        <v>50</v>
      </c>
      <c r="D23" s="8" t="n">
        <f aca="false">C23</f>
        <v>50</v>
      </c>
      <c r="E23" s="22"/>
      <c r="F23" s="22"/>
      <c r="G23" s="22"/>
      <c r="I23" s="23" t="n">
        <f aca="false">D23+E23+F23+G23</f>
        <v>50</v>
      </c>
      <c r="J23" s="23" t="n">
        <f aca="false">J22-D23-E23-F23</f>
        <v>-1483.88</v>
      </c>
      <c r="K23" s="23" t="n">
        <f aca="false">K22-G23</f>
        <v>41304.57</v>
      </c>
      <c r="L23" s="24" t="n">
        <f aca="false">J23+K23</f>
        <v>39820.69</v>
      </c>
    </row>
    <row r="24" customFormat="false" ht="15" hidden="false" customHeight="false" outlineLevel="0" collapsed="false">
      <c r="A24" s="20" t="n">
        <v>46232</v>
      </c>
      <c r="B24" s="4" t="str">
        <f aca="false">TEXT(A24,"dddd")</f>
        <v>Wednesday</v>
      </c>
      <c r="C24" s="21" t="n">
        <f aca="false">INDEX(Dashboard!$B$20:$H$20,WEEKDAY(A24,2))</f>
        <v>50</v>
      </c>
      <c r="D24" s="8" t="n">
        <f aca="false">C24</f>
        <v>50</v>
      </c>
      <c r="E24" s="22"/>
      <c r="F24" s="22"/>
      <c r="G24" s="22"/>
      <c r="I24" s="23" t="n">
        <f aca="false">D24+E24+F24+G24</f>
        <v>50</v>
      </c>
      <c r="J24" s="23" t="n">
        <f aca="false">J23-D24-E24-F24</f>
        <v>-1533.88</v>
      </c>
      <c r="K24" s="23" t="n">
        <f aca="false">K23-G24</f>
        <v>41304.57</v>
      </c>
      <c r="L24" s="24" t="n">
        <f aca="false">J24+K24</f>
        <v>39770.69</v>
      </c>
    </row>
    <row r="25" customFormat="false" ht="15" hidden="false" customHeight="false" outlineLevel="0" collapsed="false">
      <c r="A25" s="20" t="n">
        <v>46233</v>
      </c>
      <c r="B25" s="4" t="str">
        <f aca="false">TEXT(A25,"dddd")</f>
        <v>Thursday</v>
      </c>
      <c r="C25" s="21" t="n">
        <f aca="false">INDEX(Dashboard!$B$20:$H$20,WEEKDAY(A25,2))</f>
        <v>50</v>
      </c>
      <c r="D25" s="8" t="n">
        <f aca="false">C25</f>
        <v>50</v>
      </c>
      <c r="E25" s="22"/>
      <c r="F25" s="22"/>
      <c r="G25" s="22"/>
      <c r="I25" s="23" t="n">
        <f aca="false">D25+E25+F25+G25</f>
        <v>50</v>
      </c>
      <c r="J25" s="23" t="n">
        <f aca="false">J24-D25-E25-F25</f>
        <v>-1583.88</v>
      </c>
      <c r="K25" s="23" t="n">
        <f aca="false">K24-G25</f>
        <v>41304.57</v>
      </c>
      <c r="L25" s="24" t="n">
        <f aca="false">J25+K25</f>
        <v>39720.69</v>
      </c>
    </row>
    <row r="26" customFormat="false" ht="15" hidden="false" customHeight="false" outlineLevel="0" collapsed="false">
      <c r="A26" s="20" t="n">
        <v>46234</v>
      </c>
      <c r="B26" s="4" t="str">
        <f aca="false">TEXT(A26,"dddd")</f>
        <v>Friday</v>
      </c>
      <c r="C26" s="21" t="n">
        <f aca="false">INDEX(Dashboard!$B$20:$H$20,WEEKDAY(A26,2))</f>
        <v>50</v>
      </c>
      <c r="D26" s="8" t="n">
        <f aca="false">C26</f>
        <v>50</v>
      </c>
      <c r="E26" s="22"/>
      <c r="F26" s="22"/>
      <c r="G26" s="22"/>
      <c r="I26" s="23" t="n">
        <f aca="false">D26+E26+F26+G26</f>
        <v>50</v>
      </c>
      <c r="J26" s="23" t="n">
        <f aca="false">J25-D26-E26-F26</f>
        <v>-1633.88</v>
      </c>
      <c r="K26" s="23" t="n">
        <f aca="false">K25-G26</f>
        <v>41304.57</v>
      </c>
      <c r="L26" s="24" t="n">
        <f aca="false">J26+K26</f>
        <v>39670.69</v>
      </c>
    </row>
    <row r="27" customFormat="false" ht="15" hidden="false" customHeight="false" outlineLevel="0" collapsed="false">
      <c r="A27" s="10" t="s">
        <v>54</v>
      </c>
      <c r="I27" s="24" t="n">
        <f aca="false">SUM(I2:I26)</f>
        <v>1850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2026-07-07T09:34:36Z</dcterms:created>
  <dc:creator>openpyxl</dc:creator>
  <dc:description/>
  <dc:language>en-US</dc:language>
  <cp:lastModifiedBy/>
  <dcterms:modified xsi:type="dcterms:W3CDTF">2026-07-07T09:34:36Z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